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o cesar\Desktop\"/>
    </mc:Choice>
  </mc:AlternateContent>
  <xr:revisionPtr revIDLastSave="38" documentId="13_ncr:1_{CBAA45E6-58CB-4BF4-B0D2-94F53F0F62F1}" xr6:coauthVersionLast="47" xr6:coauthVersionMax="47" xr10:uidLastSave="{218001AA-9F12-42D0-994A-4829C056F46D}"/>
  <bookViews>
    <workbookView xWindow="0" yWindow="0" windowWidth="20490" windowHeight="7755" xr2:uid="{00000000-000D-0000-FFFF-FFFF00000000}"/>
  </bookViews>
  <sheets>
    <sheet name="Indice Electrónico" sheetId="4" r:id="rId1"/>
  </sheets>
  <definedNames>
    <definedName name="CierreExp">'Indice Electrónico'!$A$20</definedName>
    <definedName name="CopiarFormula">'Indice Electrónico'!$F$12:$G$12</definedName>
    <definedName name="Fin">'Indice Electrónico'!$K$20</definedName>
    <definedName name="Inicio">'Indice Electrónico'!$C$20</definedName>
    <definedName name="RangoFormato">'Indice Electrónico'!$A$11:$K$11</definedName>
    <definedName name="RangoPegarFormato">'Indice Electrónico'!$A$13:$K$20</definedName>
    <definedName name="RangoPegarFormula">'Indice Electrónico'!$F$13:$G$20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4" l="1"/>
  <c r="G19" i="4" s="1"/>
  <c r="F18" i="4"/>
  <c r="G18" i="4" s="1"/>
  <c r="F17" i="4"/>
  <c r="G17" i="4" s="1"/>
  <c r="F16" i="4"/>
  <c r="G16" i="4" s="1"/>
  <c r="F11" i="4"/>
  <c r="G11" i="4" s="1"/>
  <c r="F12" i="4" s="1"/>
  <c r="G12" i="4" s="1"/>
  <c r="F13" i="4" s="1"/>
  <c r="G13" i="4" s="1"/>
  <c r="F14" i="4" s="1"/>
  <c r="G14" i="4" s="1"/>
  <c r="F15" i="4" s="1"/>
  <c r="G15" i="4" s="1"/>
</calcChain>
</file>

<file path=xl/sharedStrings.xml><?xml version="1.0" encoding="utf-8"?>
<sst xmlns="http://schemas.openxmlformats.org/spreadsheetml/2006/main" count="52" uniqueCount="43">
  <si>
    <t>ÍNDICE DEL EXPEDIENTE JUDICIAL ELECTRÓNICO</t>
  </si>
  <si>
    <t>Ciudad</t>
  </si>
  <si>
    <t>Bucaramanga</t>
  </si>
  <si>
    <t>EXPEDIENTE FÍSICO</t>
  </si>
  <si>
    <t>Despacho Judicial</t>
  </si>
  <si>
    <t>Juzgado Cuarto Civil Municipal de Ejecucion</t>
  </si>
  <si>
    <t>El expediente judicial posee documentos físicos:</t>
  </si>
  <si>
    <t>SI____     NO ____</t>
  </si>
  <si>
    <t>Serie o Subserie Documental</t>
  </si>
  <si>
    <t>Ejecutivo Singular Minima Cuantia</t>
  </si>
  <si>
    <t>No. Radicación del Proceso</t>
  </si>
  <si>
    <t>68001400300820060097101</t>
  </si>
  <si>
    <t>No. de carpetas, legajos o tomos: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</si>
  <si>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</si>
  <si>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t>Sandra Mireya Garces Suarez</t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</si>
  <si>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</si>
  <si>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Banco Hsbc Colombia</t>
  </si>
  <si>
    <t xml:space="preserve">Cuaderno </t>
  </si>
  <si>
    <t>Medidas</t>
  </si>
  <si>
    <t>Nombre Documento</t>
  </si>
  <si>
    <t>Fecha Creación Documento</t>
  </si>
  <si>
    <t>Fecha Incorporación Expediete</t>
  </si>
  <si>
    <t xml:space="preserve">Orden Documento </t>
  </si>
  <si>
    <t>Número Páginas</t>
  </si>
  <si>
    <t>Página Inicio</t>
  </si>
  <si>
    <t>Página 
Fin</t>
  </si>
  <si>
    <t>Formato</t>
  </si>
  <si>
    <t>Tamaño</t>
  </si>
  <si>
    <t>Origen</t>
  </si>
  <si>
    <t>Observaciones</t>
  </si>
  <si>
    <t>CuadernoMedidas</t>
  </si>
  <si>
    <t>SolicitaMedidaCautelarEmbargoCuentasBancarias</t>
  </si>
  <si>
    <t>PDF</t>
  </si>
  <si>
    <t>168KB</t>
  </si>
  <si>
    <t>Electronico</t>
  </si>
  <si>
    <t>02AutoDecretaMedidaCautelar</t>
  </si>
  <si>
    <t>230kb</t>
  </si>
  <si>
    <t>OficioMedidaCautelarBancos</t>
  </si>
  <si>
    <t>346KB</t>
  </si>
  <si>
    <t>ConstanciaNotificacion</t>
  </si>
  <si>
    <t>123KB</t>
  </si>
  <si>
    <t>RespuestaBancoFalabellaSinVinculo</t>
  </si>
  <si>
    <t xml:space="preserve">FECHA DE CIERRE DEL EXPEDIENTE: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</si>
</sst>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0" xfId="0" applyFont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7" fillId="0" borderId="11" xfId="0" applyFont="1" applyBorder="1" applyAlignment="1" applyProtection="1">
      <alignment vertical="center" wrapText="1"/>
      <protection locked="0"/>
    </xf>
    <xf numFmtId="0" fontId="7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0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6" fillId="0" borderId="0" xfId="0" applyFont="1" applyAlignment="1" applyProtection="1">
      <alignment vertical="center" wrapText="1"/>
      <protection locked="0"/>
    </xf>
    <xf numFmtId="3" fontId="0" fillId="3" borderId="1" xfId="0" applyNumberFormat="1" applyFill="1" applyBorder="1" applyAlignment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 wrapText="1"/>
      <protection locked="0"/>
    </xf>
    <xf numFmtId="0" fontId="11" fillId="0" borderId="21" xfId="0" applyFont="1" applyBorder="1"/>
    <xf numFmtId="14" fontId="11" fillId="0" borderId="21" xfId="0" applyNumberFormat="1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left" vertical="center"/>
      <protection locked="0"/>
    </xf>
    <xf numFmtId="49" fontId="0" fillId="0" borderId="14" xfId="0" applyNumberFormat="1" applyBorder="1" applyAlignment="1" applyProtection="1">
      <alignment horizontal="left" vertical="center"/>
      <protection locked="0"/>
    </xf>
    <xf numFmtId="49" fontId="0" fillId="0" borderId="9" xfId="0" applyNumberFormat="1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2" fillId="0" borderId="16" xfId="0" applyFont="1" applyBorder="1" applyAlignment="1" applyProtection="1">
      <alignment horizontal="left" vertical="center" wrapText="1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1" fillId="0" borderId="16" xfId="0" applyFont="1" applyBorder="1" applyAlignment="1" applyProtection="1">
      <alignment horizontal="center" vertical="center"/>
      <protection locked="0"/>
    </xf>
    <xf numFmtId="0" fontId="1" fillId="0" borderId="17" xfId="0" applyFont="1" applyBorder="1" applyAlignment="1" applyProtection="1">
      <alignment horizontal="center" vertical="center"/>
      <protection locked="0"/>
    </xf>
    <xf numFmtId="0" fontId="1" fillId="0" borderId="18" xfId="0" applyFont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847725</xdr:colOff>
      <xdr:row>6</xdr:row>
      <xdr:rowOff>152400</xdr:rowOff>
    </xdr:from>
    <xdr:to>
      <xdr:col>11</xdr:col>
      <xdr:colOff>0</xdr:colOff>
      <xdr:row>7</xdr:row>
      <xdr:rowOff>28575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s-ES" sz="1100" b="0" i="0" u="none" strike="noStrike" baseline="0">
              <a:solidFill>
                <a:srgbClr val="000000"/>
              </a:solidFill>
              <a:latin typeface="Calibri"/>
            </a:rPr>
            <a:t>Insertar fila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22"/>
  <sheetViews>
    <sheetView showGridLines="0" tabSelected="1" topLeftCell="A10" zoomScale="90" zoomScaleNormal="90" zoomScaleSheetLayoutView="50" workbookViewId="0">
      <selection activeCell="A17" sqref="A17"/>
    </sheetView>
  </sheetViews>
  <sheetFormatPr defaultColWidth="11.42578125" defaultRowHeight="12.75"/>
  <cols>
    <col min="1" max="1" width="34.5703125" style="15" customWidth="1"/>
    <col min="2" max="2" width="14.28515625" style="15" customWidth="1"/>
    <col min="3" max="3" width="15" style="15" customWidth="1"/>
    <col min="4" max="4" width="11" style="15" customWidth="1"/>
    <col min="5" max="6" width="8.85546875" style="15" customWidth="1"/>
    <col min="7" max="7" width="9.5703125" style="15" customWidth="1"/>
    <col min="8" max="9" width="12.7109375" style="15" customWidth="1"/>
    <col min="10" max="10" width="12.85546875" style="15" customWidth="1"/>
    <col min="11" max="11" width="16" style="15" customWidth="1"/>
    <col min="12" max="16384" width="11.42578125" style="1"/>
  </cols>
  <sheetData>
    <row r="1" spans="1:11" ht="68.25" customHeight="1">
      <c r="A1" s="35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25" customHeight="1">
      <c r="A2" s="2" t="s">
        <v>1</v>
      </c>
      <c r="B2" s="29" t="s">
        <v>2</v>
      </c>
      <c r="C2" s="30"/>
      <c r="D2" s="30"/>
      <c r="E2" s="30"/>
      <c r="F2" s="31"/>
      <c r="G2" s="3"/>
      <c r="H2" s="40" t="s">
        <v>3</v>
      </c>
      <c r="I2" s="40"/>
      <c r="J2" s="40"/>
      <c r="K2" s="41"/>
    </row>
    <row r="3" spans="1:11" ht="20.25" customHeight="1">
      <c r="A3" s="4" t="s">
        <v>4</v>
      </c>
      <c r="B3" s="32" t="s">
        <v>5</v>
      </c>
      <c r="C3" s="33"/>
      <c r="D3" s="33"/>
      <c r="E3" s="33"/>
      <c r="F3" s="34"/>
      <c r="G3" s="3"/>
      <c r="H3" s="42" t="s">
        <v>6</v>
      </c>
      <c r="I3" s="43"/>
      <c r="J3" s="52" t="s">
        <v>7</v>
      </c>
      <c r="K3" s="53"/>
    </row>
    <row r="4" spans="1:11" ht="20.25" customHeight="1">
      <c r="A4" s="4" t="s">
        <v>8</v>
      </c>
      <c r="B4" s="32" t="s">
        <v>9</v>
      </c>
      <c r="C4" s="33"/>
      <c r="D4" s="33"/>
      <c r="E4" s="33"/>
      <c r="F4" s="34"/>
      <c r="G4" s="3"/>
      <c r="H4" s="44"/>
      <c r="I4" s="45"/>
      <c r="J4" s="54"/>
      <c r="K4" s="55"/>
    </row>
    <row r="5" spans="1:11" ht="20.25" customHeight="1">
      <c r="A5" s="4" t="s">
        <v>10</v>
      </c>
      <c r="B5" s="36" t="s">
        <v>11</v>
      </c>
      <c r="C5" s="37"/>
      <c r="D5" s="37"/>
      <c r="E5" s="37"/>
      <c r="F5" s="38"/>
      <c r="G5" s="3"/>
      <c r="H5" s="42" t="s">
        <v>12</v>
      </c>
      <c r="I5" s="43"/>
      <c r="J5" s="46">
        <v>64</v>
      </c>
      <c r="K5" s="47"/>
    </row>
    <row r="6" spans="1:11" ht="29.25" customHeight="1">
      <c r="A6" s="5" t="s">
        <v>13</v>
      </c>
      <c r="B6" s="32" t="s">
        <v>14</v>
      </c>
      <c r="C6" s="33"/>
      <c r="D6" s="33"/>
      <c r="E6" s="33"/>
      <c r="F6" s="34"/>
      <c r="G6" s="3"/>
      <c r="H6" s="44"/>
      <c r="I6" s="45"/>
      <c r="J6" s="48"/>
      <c r="K6" s="49"/>
    </row>
    <row r="7" spans="1:11" ht="29.25" customHeight="1">
      <c r="A7" s="5" t="s">
        <v>15</v>
      </c>
      <c r="B7" s="39" t="s">
        <v>16</v>
      </c>
      <c r="C7" s="39"/>
      <c r="D7" s="39"/>
      <c r="E7" s="39"/>
      <c r="F7" s="39"/>
      <c r="G7" s="3"/>
      <c r="H7" s="50"/>
      <c r="I7" s="50"/>
      <c r="J7" s="51"/>
      <c r="K7" s="51"/>
    </row>
    <row r="8" spans="1:11" ht="29.25" customHeight="1">
      <c r="A8" s="6" t="s">
        <v>17</v>
      </c>
      <c r="B8" s="56" t="s">
        <v>18</v>
      </c>
      <c r="C8" s="56"/>
      <c r="D8" s="56"/>
      <c r="E8" s="56"/>
      <c r="F8" s="56"/>
      <c r="G8" s="3"/>
      <c r="H8" s="20"/>
      <c r="I8" s="20"/>
      <c r="J8" s="21"/>
      <c r="K8" s="21"/>
    </row>
    <row r="9" spans="1:11" ht="15.75" customHeight="1">
      <c r="A9" s="7"/>
      <c r="B9" s="7"/>
      <c r="C9" s="7"/>
      <c r="D9" s="7"/>
      <c r="E9" s="7"/>
      <c r="F9" s="7"/>
      <c r="G9" s="7"/>
      <c r="H9" s="8"/>
      <c r="I9" s="8"/>
      <c r="J9" s="7"/>
      <c r="K9" s="7"/>
    </row>
    <row r="10" spans="1:11" ht="48.75" customHeight="1">
      <c r="A10" s="9" t="s">
        <v>19</v>
      </c>
      <c r="B10" s="10" t="s">
        <v>20</v>
      </c>
      <c r="C10" s="10" t="s">
        <v>21</v>
      </c>
      <c r="D10" s="9" t="s">
        <v>22</v>
      </c>
      <c r="E10" s="10" t="s">
        <v>23</v>
      </c>
      <c r="F10" s="10" t="s">
        <v>24</v>
      </c>
      <c r="G10" s="10" t="s">
        <v>25</v>
      </c>
      <c r="H10" s="10" t="s">
        <v>26</v>
      </c>
      <c r="I10" s="10" t="s">
        <v>27</v>
      </c>
      <c r="J10" s="9" t="s">
        <v>28</v>
      </c>
      <c r="K10" s="9" t="s">
        <v>29</v>
      </c>
    </row>
    <row r="11" spans="1:11" ht="39" customHeight="1">
      <c r="A11" s="11" t="s">
        <v>30</v>
      </c>
      <c r="B11" s="22"/>
      <c r="C11" s="12"/>
      <c r="D11" s="13">
        <v>0</v>
      </c>
      <c r="E11" s="13"/>
      <c r="F11" s="17" t="str">
        <f>+IF(E11=0,"0","1")</f>
        <v>0</v>
      </c>
      <c r="G11" s="17">
        <f>+F11+(E11-F11)</f>
        <v>0</v>
      </c>
      <c r="H11" s="13"/>
      <c r="I11" s="13"/>
      <c r="J11" s="13"/>
      <c r="K11" s="13"/>
    </row>
    <row r="12" spans="1:11" ht="18.75" customHeight="1">
      <c r="A12" s="11" t="s">
        <v>31</v>
      </c>
      <c r="B12" s="12">
        <v>44572</v>
      </c>
      <c r="C12" s="12">
        <v>44573</v>
      </c>
      <c r="D12" s="14">
        <v>1</v>
      </c>
      <c r="E12" s="14">
        <v>2</v>
      </c>
      <c r="F12" s="17">
        <f>+IF(E12=0,"0",(1+G11))</f>
        <v>1</v>
      </c>
      <c r="G12" s="17">
        <f>+F12+(E12-1)</f>
        <v>2</v>
      </c>
      <c r="H12" s="13" t="s">
        <v>32</v>
      </c>
      <c r="I12" s="14" t="s">
        <v>33</v>
      </c>
      <c r="J12" s="14" t="s">
        <v>34</v>
      </c>
      <c r="K12" s="14"/>
    </row>
    <row r="13" spans="1:11" ht="18.75" customHeight="1">
      <c r="A13" s="23" t="s">
        <v>35</v>
      </c>
      <c r="B13" s="24">
        <v>44945</v>
      </c>
      <c r="C13" s="24">
        <v>44945</v>
      </c>
      <c r="D13" s="25">
        <v>2</v>
      </c>
      <c r="E13" s="25">
        <v>2</v>
      </c>
      <c r="F13" s="17">
        <f t="shared" ref="F13:F19" si="0">+IF(E13=0,"0",(1+G12))</f>
        <v>3</v>
      </c>
      <c r="G13" s="17">
        <f t="shared" ref="G13:G19" si="1">+F13+(E13-1)</f>
        <v>4</v>
      </c>
      <c r="H13" s="13" t="s">
        <v>32</v>
      </c>
      <c r="I13" s="13" t="s">
        <v>36</v>
      </c>
      <c r="J13" s="14" t="s">
        <v>34</v>
      </c>
      <c r="K13" s="13"/>
    </row>
    <row r="14" spans="1:11" ht="18.75" customHeight="1">
      <c r="A14" s="11" t="s">
        <v>37</v>
      </c>
      <c r="B14" s="12">
        <v>44992</v>
      </c>
      <c r="C14" s="12">
        <v>44992</v>
      </c>
      <c r="D14" s="13">
        <v>3</v>
      </c>
      <c r="E14" s="13">
        <v>1</v>
      </c>
      <c r="F14" s="17">
        <f t="shared" si="0"/>
        <v>5</v>
      </c>
      <c r="G14" s="17">
        <f t="shared" si="1"/>
        <v>5</v>
      </c>
      <c r="H14" s="13" t="s">
        <v>32</v>
      </c>
      <c r="I14" s="13" t="s">
        <v>38</v>
      </c>
      <c r="J14" s="14" t="s">
        <v>34</v>
      </c>
      <c r="K14" s="13"/>
    </row>
    <row r="15" spans="1:11" ht="18.75" customHeight="1">
      <c r="A15" s="11" t="s">
        <v>39</v>
      </c>
      <c r="B15" s="12">
        <v>44992</v>
      </c>
      <c r="C15" s="12">
        <v>44992</v>
      </c>
      <c r="D15" s="13">
        <v>4</v>
      </c>
      <c r="E15" s="13">
        <v>1</v>
      </c>
      <c r="F15" s="17">
        <f t="shared" si="0"/>
        <v>6</v>
      </c>
      <c r="G15" s="17">
        <f t="shared" si="1"/>
        <v>6</v>
      </c>
      <c r="H15" s="13" t="s">
        <v>32</v>
      </c>
      <c r="I15" s="13" t="s">
        <v>40</v>
      </c>
      <c r="J15" s="14" t="s">
        <v>34</v>
      </c>
      <c r="K15" s="13"/>
    </row>
    <row r="16" spans="1:11" ht="18.75" customHeight="1">
      <c r="A16" s="11" t="s">
        <v>41</v>
      </c>
      <c r="B16" s="12">
        <v>44995</v>
      </c>
      <c r="C16" s="12">
        <v>44998</v>
      </c>
      <c r="D16" s="13">
        <v>5</v>
      </c>
      <c r="E16" s="13">
        <v>2</v>
      </c>
      <c r="F16" s="17">
        <f t="shared" si="0"/>
        <v>7</v>
      </c>
      <c r="G16" s="17">
        <f t="shared" si="1"/>
        <v>8</v>
      </c>
      <c r="H16" s="13" t="s">
        <v>32</v>
      </c>
      <c r="I16" s="13" t="s">
        <v>33</v>
      </c>
      <c r="J16" s="13" t="s">
        <v>34</v>
      </c>
      <c r="K16" s="13"/>
    </row>
    <row r="17" spans="1:11" ht="20.25" customHeight="1">
      <c r="A17" s="11"/>
      <c r="B17" s="12"/>
      <c r="C17" s="12"/>
      <c r="D17" s="13"/>
      <c r="E17" s="13"/>
      <c r="F17" s="17" t="str">
        <f t="shared" si="0"/>
        <v>0</v>
      </c>
      <c r="G17" s="17">
        <f t="shared" si="1"/>
        <v>-1</v>
      </c>
      <c r="H17" s="13"/>
      <c r="I17" s="13"/>
      <c r="J17" s="13"/>
      <c r="K17" s="13"/>
    </row>
    <row r="18" spans="1:11" ht="20.25" customHeight="1">
      <c r="A18" s="11"/>
      <c r="B18" s="12"/>
      <c r="C18" s="12"/>
      <c r="D18" s="13"/>
      <c r="E18" s="13"/>
      <c r="F18" s="17" t="str">
        <f t="shared" si="0"/>
        <v>0</v>
      </c>
      <c r="G18" s="17">
        <f t="shared" si="1"/>
        <v>-1</v>
      </c>
      <c r="H18" s="13"/>
      <c r="I18" s="13"/>
      <c r="J18" s="13"/>
      <c r="K18" s="13"/>
    </row>
    <row r="19" spans="1:11" ht="22.5" customHeight="1">
      <c r="A19" s="11"/>
      <c r="B19" s="12"/>
      <c r="C19" s="12"/>
      <c r="D19" s="13"/>
      <c r="E19" s="13"/>
      <c r="F19" s="17" t="str">
        <f t="shared" si="0"/>
        <v>0</v>
      </c>
      <c r="G19" s="17">
        <f t="shared" si="1"/>
        <v>-1</v>
      </c>
      <c r="H19" s="13"/>
      <c r="I19" s="13"/>
      <c r="J19" s="13"/>
      <c r="K19" s="13"/>
    </row>
    <row r="20" spans="1:11" ht="18.75" customHeight="1">
      <c r="A20" s="18" t="s">
        <v>42</v>
      </c>
      <c r="B20" s="19"/>
      <c r="C20" s="26"/>
      <c r="D20" s="27"/>
      <c r="E20" s="27"/>
      <c r="F20" s="27"/>
      <c r="G20" s="27"/>
      <c r="H20" s="27"/>
      <c r="I20" s="27"/>
      <c r="J20" s="27"/>
      <c r="K20" s="28"/>
    </row>
    <row r="21" spans="1:11" ht="27.75" customHeight="1"/>
    <row r="22" spans="1:11" ht="12.75" customHeight="1">
      <c r="G22" s="16"/>
      <c r="H22" s="16"/>
      <c r="I22" s="16"/>
    </row>
  </sheetData>
  <sheetProtection formatCells="0" formatColumns="0" formatRows="0" insertRows="0"/>
  <mergeCells count="16">
    <mergeCell ref="C20:K20"/>
    <mergeCell ref="B2:F2"/>
    <mergeCell ref="B3:F3"/>
    <mergeCell ref="B4:F4"/>
    <mergeCell ref="A1:K1"/>
    <mergeCell ref="B5:F5"/>
    <mergeCell ref="B6:F6"/>
    <mergeCell ref="B7:F7"/>
    <mergeCell ref="H2:K2"/>
    <mergeCell ref="H5:I6"/>
    <mergeCell ref="J5:K6"/>
    <mergeCell ref="H7:I7"/>
    <mergeCell ref="J7:K7"/>
    <mergeCell ref="H3:I4"/>
    <mergeCell ref="J3:K4"/>
    <mergeCell ref="B8:F8"/>
  </mergeCells>
  <printOptions horizontalCentered="1"/>
  <pageMargins left="0.51181102362204722" right="0.51181102362204722" top="0.55118110236220474" bottom="0.74803149606299213" header="0.31496062992125984" footer="0.31496062992125984"/>
  <pageSetup scale="83" orientation="landscape" horizontalDpi="4294967293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0D3CA8A8F104B46A609B35E2806C01D" ma:contentTypeVersion="5" ma:contentTypeDescription="Crear nuevo documento." ma:contentTypeScope="" ma:versionID="ee79d994714891734015e76dc1a24395">
  <xsd:schema xmlns:xsd="http://www.w3.org/2001/XMLSchema" xmlns:xs="http://www.w3.org/2001/XMLSchema" xmlns:p="http://schemas.microsoft.com/office/2006/metadata/properties" xmlns:ns2="930c81f1-e9ca-4bc6-a442-7e43bfe25841" xmlns:ns3="9845f4ef-a5bd-4dbd-ab8f-e69291a39b0c" targetNamespace="http://schemas.microsoft.com/office/2006/metadata/properties" ma:root="true" ma:fieldsID="69311f995dd648adabcddfb1bd0398eb" ns2:_="" ns3:_="">
    <xsd:import namespace="930c81f1-e9ca-4bc6-a442-7e43bfe25841"/>
    <xsd:import namespace="9845f4ef-a5bd-4dbd-ab8f-e69291a39b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0c81f1-e9ca-4bc6-a442-7e43bfe258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45f4ef-a5bd-4dbd-ab8f-e69291a39b0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29971E-3226-48FB-ADB1-B0461876373A}"/>
</file>

<file path=customXml/itemProps2.xml><?xml version="1.0" encoding="utf-8"?>
<ds:datastoreItem xmlns:ds="http://schemas.openxmlformats.org/officeDocument/2006/customXml" ds:itemID="{CBDE11B3-FC7F-47AB-AC9F-C9611F029A78}"/>
</file>

<file path=customXml/itemProps3.xml><?xml version="1.0" encoding="utf-8"?>
<ds:datastoreItem xmlns:ds="http://schemas.openxmlformats.org/officeDocument/2006/customXml" ds:itemID="{E56FE5A8-6C97-48A6-9082-C3C9F31CFB7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Ricardo Gordillo Blanco</dc:creator>
  <cp:keywords/>
  <dc:description/>
  <cp:lastModifiedBy>Carlos Augusto Alcocer Lizcano</cp:lastModifiedBy>
  <cp:revision/>
  <dcterms:created xsi:type="dcterms:W3CDTF">2019-08-06T14:37:38Z</dcterms:created>
  <dcterms:modified xsi:type="dcterms:W3CDTF">2023-03-13T11:58:20Z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0x01010050D3CA8A8F104B46A609B35E2806C01D</vt:lpwstr>
  </property>
</Properties>
</file>